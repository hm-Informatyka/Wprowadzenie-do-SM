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filterPrivacy="1" defaultThemeVersion="124226"/>
  <xr:revisionPtr revIDLastSave="0" documentId="8_{3CD14F69-0CCA-4B9B-A7D7-F219D0CD5B1B}" xr6:coauthVersionLast="47" xr6:coauthVersionMax="47" xr10:uidLastSave="{00000000-0000-0000-0000-000000000000}"/>
  <bookViews>
    <workbookView xWindow="-60" yWindow="-60" windowWidth="15480" windowHeight="11640" xr2:uid="{B049A919-AD1F-4B5C-8EF1-796FCC8BF9B2}"/>
  </bookViews>
  <sheets>
    <sheet name="Arkusz1" sheetId="1" r:id="rId1"/>
    <sheet name="Arkusz2" sheetId="2" r:id="rId2"/>
    <sheet name="Arkusz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L17" i="1"/>
  <c r="M17" i="1" s="1"/>
  <c r="K1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  <c r="L2" i="1" l="1"/>
  <c r="M2" i="1" s="1"/>
  <c r="K2" i="1"/>
  <c r="L33" i="1"/>
  <c r="M33" i="1" s="1"/>
  <c r="K33" i="1"/>
  <c r="L32" i="1"/>
  <c r="M32" i="1" s="1"/>
  <c r="K32" i="1"/>
  <c r="L31" i="1"/>
  <c r="M31" i="1" s="1"/>
  <c r="K31" i="1"/>
  <c r="L30" i="1"/>
  <c r="M30" i="1" s="1"/>
  <c r="K30" i="1"/>
  <c r="L29" i="1"/>
  <c r="M29" i="1" s="1"/>
  <c r="K29" i="1"/>
  <c r="L28" i="1"/>
  <c r="M28" i="1" s="1"/>
  <c r="K28" i="1"/>
  <c r="L27" i="1"/>
  <c r="M27" i="1" s="1"/>
  <c r="K27" i="1"/>
  <c r="L26" i="1"/>
  <c r="M26" i="1" s="1"/>
  <c r="K26" i="1"/>
  <c r="L25" i="1"/>
  <c r="M25" i="1" s="1"/>
  <c r="K25" i="1"/>
  <c r="L24" i="1"/>
  <c r="M24" i="1" s="1"/>
  <c r="K24" i="1"/>
  <c r="L23" i="1"/>
  <c r="M23" i="1" s="1"/>
  <c r="K23" i="1"/>
  <c r="L22" i="1"/>
  <c r="M22" i="1" s="1"/>
  <c r="K22" i="1"/>
  <c r="L21" i="1"/>
  <c r="M21" i="1" s="1"/>
  <c r="K21" i="1"/>
  <c r="L20" i="1"/>
  <c r="M20" i="1" s="1"/>
  <c r="K20" i="1"/>
  <c r="L19" i="1"/>
  <c r="M19" i="1" s="1"/>
  <c r="K19" i="1"/>
  <c r="L18" i="1"/>
  <c r="M18" i="1" s="1"/>
  <c r="K18" i="1"/>
  <c r="L16" i="1"/>
  <c r="M16" i="1" s="1"/>
  <c r="K16" i="1"/>
  <c r="L15" i="1"/>
  <c r="M15" i="1" s="1"/>
  <c r="K15" i="1"/>
  <c r="L14" i="1"/>
  <c r="M14" i="1" s="1"/>
  <c r="K14" i="1"/>
  <c r="L13" i="1"/>
  <c r="M13" i="1" s="1"/>
  <c r="K13" i="1"/>
  <c r="L12" i="1"/>
  <c r="M12" i="1" s="1"/>
  <c r="K12" i="1"/>
  <c r="L11" i="1"/>
  <c r="M11" i="1" s="1"/>
  <c r="K11" i="1"/>
  <c r="L10" i="1"/>
  <c r="M10" i="1" s="1"/>
  <c r="K10" i="1"/>
  <c r="L9" i="1"/>
  <c r="M9" i="1" s="1"/>
  <c r="K9" i="1"/>
  <c r="L8" i="1"/>
  <c r="M8" i="1" s="1"/>
  <c r="K8" i="1"/>
  <c r="L7" i="1"/>
  <c r="M7" i="1" s="1"/>
  <c r="K7" i="1"/>
  <c r="L6" i="1"/>
  <c r="M6" i="1" s="1"/>
  <c r="K6" i="1"/>
  <c r="L5" i="1"/>
  <c r="M5" i="1" s="1"/>
  <c r="K5" i="1"/>
  <c r="L4" i="1"/>
  <c r="M4" i="1" s="1"/>
  <c r="K4" i="1"/>
  <c r="L3" i="1"/>
  <c r="M3" i="1" s="1"/>
  <c r="K3" i="1"/>
</calcChain>
</file>

<file path=xl/sharedStrings.xml><?xml version="1.0" encoding="utf-8"?>
<sst xmlns="http://schemas.openxmlformats.org/spreadsheetml/2006/main" count="20" uniqueCount="20">
  <si>
    <t>Nr studenta</t>
  </si>
  <si>
    <t>czas przybycia</t>
  </si>
  <si>
    <t>czas obsługi</t>
  </si>
  <si>
    <t>t_przybycia</t>
  </si>
  <si>
    <t>liczba stanowisk obsługi r</t>
  </si>
  <si>
    <t>minuta</t>
  </si>
  <si>
    <t>czas 
(w min.)</t>
  </si>
  <si>
    <t>l</t>
  </si>
  <si>
    <t>m</t>
  </si>
  <si>
    <t>r</t>
  </si>
  <si>
    <t>P(n=0)</t>
  </si>
  <si>
    <t>Q</t>
  </si>
  <si>
    <t>W</t>
  </si>
  <si>
    <t>λ = liczba_przybyć / czas_obserwacji,</t>
  </si>
  <si>
    <t>μ = 1 / średni_czas_obsługi</t>
  </si>
  <si>
    <t>ρ = λ / (r * μ)</t>
  </si>
  <si>
    <t>P(n=0) = 1 − ρ</t>
  </si>
  <si>
    <t>Q = ρ^2 / (1 − ρ)</t>
  </si>
  <si>
    <t>W = Q / λ</t>
  </si>
  <si>
    <t>Po zwiekszeniu liczby stanowisk obslugi wartosc rho maleje, a czas oczekiwania i liczba osob w kolejce zmniejszaja sie.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</si>
</sst>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wykres1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{"minuty"}</c:f>
              <c:strCache>
                <c:ptCount val="1"/>
                <c:pt idx="0">
                  <c:v>minuty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Arkusz1!$G$2:$G$33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6-41F0-B171-10EA762A4325}"/>
            </c:ext>
          </c:extLst>
        </c:ser>
        <c:ser>
          <c:idx val="1"/>
          <c:order val="1"/>
          <c:tx>
            <c:strRef>
              <c:f>{"λ"}</c:f>
              <c:strCache>
                <c:ptCount val="1"/>
                <c:pt idx="0">
                  <c:v>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Arkusz1!$H$2:$H$33</c:f>
              <c:numCache>
                <c:formatCode>General</c:formatCode>
                <c:ptCount val="3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2.75</c:v>
                </c:pt>
                <c:pt idx="4">
                  <c:v>2.6</c:v>
                </c:pt>
                <c:pt idx="5">
                  <c:v>2.3333333333333335</c:v>
                </c:pt>
                <c:pt idx="6">
                  <c:v>2.1428571428571428</c:v>
                </c:pt>
                <c:pt idx="7">
                  <c:v>2.125</c:v>
                </c:pt>
                <c:pt idx="8">
                  <c:v>2</c:v>
                </c:pt>
                <c:pt idx="9">
                  <c:v>1.9</c:v>
                </c:pt>
                <c:pt idx="10">
                  <c:v>1.8181818181818181</c:v>
                </c:pt>
                <c:pt idx="11">
                  <c:v>1.75</c:v>
                </c:pt>
                <c:pt idx="12">
                  <c:v>1.6923076923076923</c:v>
                </c:pt>
                <c:pt idx="13">
                  <c:v>1.7142857142857142</c:v>
                </c:pt>
                <c:pt idx="14">
                  <c:v>1.7333333333333334</c:v>
                </c:pt>
                <c:pt idx="15">
                  <c:v>1.75</c:v>
                </c:pt>
                <c:pt idx="16">
                  <c:v>1.7058823529411764</c:v>
                </c:pt>
                <c:pt idx="17">
                  <c:v>1.6666666666666667</c:v>
                </c:pt>
                <c:pt idx="18">
                  <c:v>1.6842105263157894</c:v>
                </c:pt>
                <c:pt idx="19">
                  <c:v>1.6</c:v>
                </c:pt>
                <c:pt idx="20">
                  <c:v>1.5238095238095237</c:v>
                </c:pt>
                <c:pt idx="21">
                  <c:v>1.4545454545454546</c:v>
                </c:pt>
                <c:pt idx="22">
                  <c:v>1.3913043478260869</c:v>
                </c:pt>
                <c:pt idx="23">
                  <c:v>1.3333333333333333</c:v>
                </c:pt>
                <c:pt idx="24">
                  <c:v>1.28</c:v>
                </c:pt>
                <c:pt idx="25">
                  <c:v>1.2307692307692308</c:v>
                </c:pt>
                <c:pt idx="26">
                  <c:v>1.1851851851851851</c:v>
                </c:pt>
                <c:pt idx="27">
                  <c:v>1.1428571428571428</c:v>
                </c:pt>
                <c:pt idx="28">
                  <c:v>1.103448275862069</c:v>
                </c:pt>
                <c:pt idx="29">
                  <c:v>1.0666666666666667</c:v>
                </c:pt>
                <c:pt idx="30">
                  <c:v>1.032258064516129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16-41F0-B171-10EA762A4325}"/>
            </c:ext>
          </c:extLst>
        </c:ser>
        <c:ser>
          <c:idx val="2"/>
          <c:order val="2"/>
          <c:tx>
            <c:strRef>
              <c:f>{"μ"}</c:f>
              <c:strCache>
                <c:ptCount val="1"/>
                <c:pt idx="0">
                  <c:v>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Arkusz1!$I$2:$I$33</c:f>
              <c:numCache>
                <c:formatCode>General</c:formatCode>
                <c:ptCount val="32"/>
                <c:pt idx="0">
                  <c:v>1.0909090909090908</c:v>
                </c:pt>
                <c:pt idx="1">
                  <c:v>1.0666666666666667</c:v>
                </c:pt>
                <c:pt idx="2">
                  <c:v>1.125</c:v>
                </c:pt>
                <c:pt idx="3">
                  <c:v>1.03125</c:v>
                </c:pt>
                <c:pt idx="4">
                  <c:v>1.0064516129032259</c:v>
                </c:pt>
                <c:pt idx="5">
                  <c:v>0.98823529411764699</c:v>
                </c:pt>
                <c:pt idx="6">
                  <c:v>0.98901098901098905</c:v>
                </c:pt>
                <c:pt idx="7">
                  <c:v>0.99512195121951219</c:v>
                </c:pt>
                <c:pt idx="8">
                  <c:v>0.99082568807339444</c:v>
                </c:pt>
                <c:pt idx="9">
                  <c:v>0.98701298701298701</c:v>
                </c:pt>
                <c:pt idx="10">
                  <c:v>0.97560975609756095</c:v>
                </c:pt>
                <c:pt idx="11">
                  <c:v>0.96923076923076923</c:v>
                </c:pt>
                <c:pt idx="12">
                  <c:v>0.97058823529411764</c:v>
                </c:pt>
                <c:pt idx="13">
                  <c:v>0.96839273705447204</c:v>
                </c:pt>
                <c:pt idx="14">
                  <c:v>0.98298676748582225</c:v>
                </c:pt>
                <c:pt idx="15">
                  <c:v>0.97845078625509618</c:v>
                </c:pt>
                <c:pt idx="16">
                  <c:v>0.97917839054586386</c:v>
                </c:pt>
                <c:pt idx="17">
                  <c:v>0.99064391854705558</c:v>
                </c:pt>
                <c:pt idx="18">
                  <c:v>0.98613251155624038</c:v>
                </c:pt>
                <c:pt idx="19">
                  <c:v>0.98613251155624038</c:v>
                </c:pt>
                <c:pt idx="20">
                  <c:v>0.98613251155624038</c:v>
                </c:pt>
                <c:pt idx="21">
                  <c:v>0.98613251155624038</c:v>
                </c:pt>
                <c:pt idx="22">
                  <c:v>0.98613251155624038</c:v>
                </c:pt>
                <c:pt idx="23">
                  <c:v>0.98613251155624038</c:v>
                </c:pt>
                <c:pt idx="24">
                  <c:v>0.98613251155624038</c:v>
                </c:pt>
                <c:pt idx="25">
                  <c:v>0.98613251155624038</c:v>
                </c:pt>
                <c:pt idx="26">
                  <c:v>0.98613251155624038</c:v>
                </c:pt>
                <c:pt idx="27">
                  <c:v>0.98613251155624038</c:v>
                </c:pt>
                <c:pt idx="28">
                  <c:v>0.98613251155624038</c:v>
                </c:pt>
                <c:pt idx="29">
                  <c:v>0.98613251155624038</c:v>
                </c:pt>
                <c:pt idx="30">
                  <c:v>0.98613251155624038</c:v>
                </c:pt>
                <c:pt idx="31">
                  <c:v>0.98613251155624038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16-41F0-B171-10EA762A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9429383"/>
        <c:axId val="1459787271"/>
      </c:barChart>
      <c:catAx>
        <c:axId val="8594293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787271"/>
        <c:crosses val="autoZero"/>
        <c:auto val="1"/>
        <c:lblAlgn val="ctr"/>
        <c:lblOffset val="100"/>
        <c:noMultiLvlLbl val="0"/>
      </c:catAx>
      <c:valAx>
        <c:axId val="1459787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429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wykres2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{"minuty"}</c:f>
              <c:strCache>
                <c:ptCount val="1"/>
                <c:pt idx="0">
                  <c:v>minuty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Arkusz1!$G$2:$G$33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F-410C-B371-32570558B1BD}"/>
            </c:ext>
          </c:extLst>
        </c:ser>
        <c:ser>
          <c:idx val="1"/>
          <c:order val="1"/>
          <c:tx>
            <c:strRef>
              <c:f>{"ρ"}</c:f>
              <c:strCache>
                <c:ptCount val="1"/>
                <c:pt idx="0">
                  <c:v>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Arkusz1!$J$2:$J$33</c:f>
              <c:numCache>
                <c:formatCode>General</c:formatCode>
                <c:ptCount val="32"/>
                <c:pt idx="0">
                  <c:v>0.91666666666666674</c:v>
                </c:pt>
                <c:pt idx="1">
                  <c:v>0.625</c:v>
                </c:pt>
                <c:pt idx="2">
                  <c:v>0.59259259259259256</c:v>
                </c:pt>
                <c:pt idx="3">
                  <c:v>0.88888888888888884</c:v>
                </c:pt>
                <c:pt idx="4">
                  <c:v>0.86111111111111105</c:v>
                </c:pt>
                <c:pt idx="5">
                  <c:v>0.7870370370370372</c:v>
                </c:pt>
                <c:pt idx="6">
                  <c:v>0.72222222222222221</c:v>
                </c:pt>
                <c:pt idx="7">
                  <c:v>0.71180555555555558</c:v>
                </c:pt>
                <c:pt idx="8">
                  <c:v>0.6728395061728395</c:v>
                </c:pt>
                <c:pt idx="9">
                  <c:v>0.64166666666666661</c:v>
                </c:pt>
                <c:pt idx="10">
                  <c:v>0.62121212121212122</c:v>
                </c:pt>
                <c:pt idx="11">
                  <c:v>0.60185185185185186</c:v>
                </c:pt>
                <c:pt idx="12">
                  <c:v>0.58119658119658124</c:v>
                </c:pt>
                <c:pt idx="13">
                  <c:v>0.59007936507936509</c:v>
                </c:pt>
                <c:pt idx="14">
                  <c:v>0.58777777777777784</c:v>
                </c:pt>
                <c:pt idx="15">
                  <c:v>0.59618055555555549</c:v>
                </c:pt>
                <c:pt idx="16">
                  <c:v>0.58071895424836595</c:v>
                </c:pt>
                <c:pt idx="17">
                  <c:v>0.56080246913580256</c:v>
                </c:pt>
                <c:pt idx="18">
                  <c:v>0.56929824561403508</c:v>
                </c:pt>
                <c:pt idx="19">
                  <c:v>0.54083333333333339</c:v>
                </c:pt>
                <c:pt idx="20">
                  <c:v>0.51507936507936503</c:v>
                </c:pt>
                <c:pt idx="21">
                  <c:v>0.4916666666666667</c:v>
                </c:pt>
                <c:pt idx="22">
                  <c:v>0.47028985507246379</c:v>
                </c:pt>
                <c:pt idx="23">
                  <c:v>0.45069444444444445</c:v>
                </c:pt>
                <c:pt idx="24">
                  <c:v>0.4326666666666667</c:v>
                </c:pt>
                <c:pt idx="25">
                  <c:v>0.41602564102564105</c:v>
                </c:pt>
                <c:pt idx="26">
                  <c:v>0.4006172839506173</c:v>
                </c:pt>
                <c:pt idx="27">
                  <c:v>0.38630952380952382</c:v>
                </c:pt>
                <c:pt idx="28">
                  <c:v>0.37298850574712644</c:v>
                </c:pt>
                <c:pt idx="29">
                  <c:v>0.36055555555555557</c:v>
                </c:pt>
                <c:pt idx="30">
                  <c:v>0.34892473118279571</c:v>
                </c:pt>
                <c:pt idx="31">
                  <c:v>0.33802083333333333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8F-410C-B371-32570558B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7792136"/>
        <c:axId val="1306469384"/>
      </c:barChart>
      <c:catAx>
        <c:axId val="28779213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469384"/>
        <c:crosses val="autoZero"/>
        <c:auto val="1"/>
        <c:lblAlgn val="ctr"/>
        <c:lblOffset val="100"/>
        <c:noMultiLvlLbl val="0"/>
      </c:catAx>
      <c:valAx>
        <c:axId val="1306469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92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wykres3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{"minuty"}</c:f>
              <c:strCache>
                <c:ptCount val="1"/>
                <c:pt idx="0">
                  <c:v>minuty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Arkusz1!$G$2:$G$33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2-4143-9321-5EDAF59268BE}"/>
            </c:ext>
          </c:extLst>
        </c:ser>
        <c:ser>
          <c:idx val="1"/>
          <c:order val="1"/>
          <c:tx>
            <c:strRef>
              <c:f>{"Q"}</c:f>
              <c:strCache>
                <c:ptCount val="1"/>
                <c:pt idx="0">
                  <c:v>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Arkusz1!$L$2:$L$33</c:f>
              <c:numCache>
                <c:formatCode>General</c:formatCode>
                <c:ptCount val="32"/>
                <c:pt idx="0">
                  <c:v>10.083333333333345</c:v>
                </c:pt>
                <c:pt idx="1">
                  <c:v>1.0416666666666667</c:v>
                </c:pt>
                <c:pt idx="2">
                  <c:v>0.8619528619528618</c:v>
                </c:pt>
                <c:pt idx="3">
                  <c:v>7.1111111111111072</c:v>
                </c:pt>
                <c:pt idx="4">
                  <c:v>5.3388888888888859</c:v>
                </c:pt>
                <c:pt idx="5">
                  <c:v>2.9086151368760098</c:v>
                </c:pt>
                <c:pt idx="6">
                  <c:v>1.8777777777777775</c:v>
                </c:pt>
                <c:pt idx="7">
                  <c:v>1.7580739625167341</c:v>
                </c:pt>
                <c:pt idx="8">
                  <c:v>1.383764267412066</c:v>
                </c:pt>
                <c:pt idx="9">
                  <c:v>1.1490310077519374</c:v>
                </c:pt>
                <c:pt idx="10">
                  <c:v>1.0187878787878788</c:v>
                </c:pt>
                <c:pt idx="11">
                  <c:v>0.90977605512489235</c:v>
                </c:pt>
                <c:pt idx="12">
                  <c:v>0.80655852084423529</c:v>
                </c:pt>
                <c:pt idx="13">
                  <c:v>0.84941724673089636</c:v>
                </c:pt>
                <c:pt idx="14">
                  <c:v>0.83809823300389374</c:v>
                </c:pt>
                <c:pt idx="15">
                  <c:v>0.88017370067832201</c:v>
                </c:pt>
                <c:pt idx="16">
                  <c:v>0.80431611979684026</c:v>
                </c:pt>
                <c:pt idx="17">
                  <c:v>0.71607736220643259</c:v>
                </c:pt>
                <c:pt idx="18">
                  <c:v>0.75249401507842928</c:v>
                </c:pt>
                <c:pt idx="19">
                  <c:v>0.63702510586811878</c:v>
                </c:pt>
                <c:pt idx="20">
                  <c:v>0.54711376094354791</c:v>
                </c:pt>
                <c:pt idx="21">
                  <c:v>0.47554644808743179</c:v>
                </c:pt>
                <c:pt idx="22">
                  <c:v>0.41753504232835709</c:v>
                </c:pt>
                <c:pt idx="23">
                  <c:v>0.36978596010675663</c:v>
                </c:pt>
                <c:pt idx="24">
                  <c:v>0.32996553074813956</c:v>
                </c:pt>
                <c:pt idx="25">
                  <c:v>0.29637831067578607</c:v>
                </c:pt>
                <c:pt idx="26">
                  <c:v>0.26776582624505729</c:v>
                </c:pt>
                <c:pt idx="27">
                  <c:v>0.24317641217495728</c:v>
                </c:pt>
                <c:pt idx="28">
                  <c:v>0.22187858866167284</c:v>
                </c:pt>
                <c:pt idx="29">
                  <c:v>0.20330195964861472</c:v>
                </c:pt>
                <c:pt idx="30">
                  <c:v>0.18699599548937607</c:v>
                </c:pt>
                <c:pt idx="31">
                  <c:v>0.17260072449514816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2-4143-9321-5EDAF59268BE}"/>
            </c:ext>
          </c:extLst>
        </c:ser>
        <c:ser>
          <c:idx val="2"/>
          <c:order val="2"/>
          <c:tx>
            <c:strRef>
              <c:f>{"W"}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Arkusz1!$M$2:$M$33</c:f>
              <c:numCache>
                <c:formatCode>General</c:formatCode>
                <c:ptCount val="32"/>
                <c:pt idx="0">
                  <c:v>3.3611111111111147</c:v>
                </c:pt>
                <c:pt idx="1">
                  <c:v>0.52083333333333337</c:v>
                </c:pt>
                <c:pt idx="2">
                  <c:v>0.4309764309764309</c:v>
                </c:pt>
                <c:pt idx="3">
                  <c:v>2.5858585858585843</c:v>
                </c:pt>
                <c:pt idx="4">
                  <c:v>2.0534188034188023</c:v>
                </c:pt>
                <c:pt idx="5">
                  <c:v>1.2465493443754327</c:v>
                </c:pt>
                <c:pt idx="6">
                  <c:v>0.87629629629629624</c:v>
                </c:pt>
                <c:pt idx="7">
                  <c:v>0.8273289235372866</c:v>
                </c:pt>
                <c:pt idx="8">
                  <c:v>0.69188213370603302</c:v>
                </c:pt>
                <c:pt idx="9">
                  <c:v>0.60475316197470397</c:v>
                </c:pt>
                <c:pt idx="10">
                  <c:v>0.56033333333333335</c:v>
                </c:pt>
                <c:pt idx="11">
                  <c:v>0.51987203149993844</c:v>
                </c:pt>
                <c:pt idx="12">
                  <c:v>0.47660276231704812</c:v>
                </c:pt>
                <c:pt idx="13">
                  <c:v>0.49549339392635622</c:v>
                </c:pt>
                <c:pt idx="14">
                  <c:v>0.48351821134840023</c:v>
                </c:pt>
                <c:pt idx="15">
                  <c:v>0.50295640038761258</c:v>
                </c:pt>
                <c:pt idx="16">
                  <c:v>0.47149565643263053</c:v>
                </c:pt>
                <c:pt idx="17">
                  <c:v>0.42964641732385955</c:v>
                </c:pt>
                <c:pt idx="18">
                  <c:v>0.44679332145281742</c:v>
                </c:pt>
                <c:pt idx="19">
                  <c:v>0.39814069116757422</c:v>
                </c:pt>
                <c:pt idx="20">
                  <c:v>0.35904340561920334</c:v>
                </c:pt>
                <c:pt idx="21">
                  <c:v>0.32693818306010936</c:v>
                </c:pt>
                <c:pt idx="22">
                  <c:v>0.30010331167350668</c:v>
                </c:pt>
                <c:pt idx="23">
                  <c:v>0.27733947008006749</c:v>
                </c:pt>
                <c:pt idx="24">
                  <c:v>0.25778557089698401</c:v>
                </c:pt>
                <c:pt idx="25">
                  <c:v>0.24080737742407618</c:v>
                </c:pt>
                <c:pt idx="26">
                  <c:v>0.2259274158942671</c:v>
                </c:pt>
                <c:pt idx="27">
                  <c:v>0.21277936065308764</c:v>
                </c:pt>
                <c:pt idx="28">
                  <c:v>0.20107747097464101</c:v>
                </c:pt>
                <c:pt idx="29">
                  <c:v>0.19059558717057631</c:v>
                </c:pt>
                <c:pt idx="30">
                  <c:v>0.18115237063033307</c:v>
                </c:pt>
                <c:pt idx="31">
                  <c:v>0.17260072449514816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92-4143-9321-5EDAF5926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5035016"/>
        <c:axId val="1845037064"/>
      </c:barChart>
      <c:catAx>
        <c:axId val="184503501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037064"/>
        <c:crosses val="autoZero"/>
        <c:auto val="1"/>
        <c:lblAlgn val="ctr"/>
        <c:lblOffset val="100"/>
        <c:noMultiLvlLbl val="0"/>
      </c:catAx>
      <c:valAx>
        <c:axId val="1845037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03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34</xdr:row>
      <xdr:rowOff>19050</xdr:rowOff>
    </xdr:from>
    <xdr:to>
      <xdr:col>9</xdr:col>
      <xdr:colOff>0</xdr:colOff>
      <xdr:row>48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B47767B-7B07-92ED-4C42-B754CDF87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34</xdr:row>
      <xdr:rowOff>19050</xdr:rowOff>
    </xdr:from>
    <xdr:to>
      <xdr:col>15</xdr:col>
      <xdr:colOff>104775</xdr:colOff>
      <xdr:row>48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91147B6-5C6E-DF5C-853B-CD28A9E8A542}"/>
            </a:ext>
            <a:ext uri="{147F2762-F138-4A5C-976F-8EAC2B608ADB}">
              <a16:predDERef xmlns:a16="http://schemas.microsoft.com/office/drawing/2014/main" pred="{2B47767B-7B07-92ED-4C42-B754CDF87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561975</xdr:colOff>
      <xdr:row>48</xdr:row>
      <xdr:rowOff>66675</xdr:rowOff>
    </xdr:from>
    <xdr:to>
      <xdr:col>11</xdr:col>
      <xdr:colOff>676275</xdr:colOff>
      <xdr:row>62</xdr:row>
      <xdr:rowOff>142875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B5CFA29-E399-B868-3DC0-323B18690987}"/>
            </a:ext>
            <a:ext uri="{147F2762-F138-4A5C-976F-8EAC2B608ADB}">
              <a16:predDERef xmlns:a16="http://schemas.microsoft.com/office/drawing/2014/main" pred="{491147B6-5C6E-DF5C-853B-CD28A9E8A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9D85-5674-4B5E-AC60-BA3EF79BA144}">
  <dimension ref="A1:N54"/>
  <sheetViews>
    <sheetView tabSelected="1" topLeftCell="A34" workbookViewId="0">
      <selection activeCell="N57" sqref="N57"/>
    </sheetView>
  </sheetViews>
  <sheetFormatPr defaultRowHeight="15"/>
  <cols>
    <col min="1" max="1" width="10.42578125" customWidth="1"/>
    <col min="5" max="5" width="9.7109375" customWidth="1"/>
    <col min="8" max="8" width="17.7109375" customWidth="1"/>
    <col min="9" max="9" width="24.28515625" bestFit="1" customWidth="1"/>
    <col min="10" max="10" width="12" bestFit="1" customWidth="1"/>
    <col min="11" max="11" width="12.85546875" bestFit="1" customWidth="1"/>
    <col min="12" max="12" width="14.85546875" bestFit="1" customWidth="1"/>
    <col min="14" max="14" width="36.5703125" bestFit="1" customWidth="1"/>
  </cols>
  <sheetData>
    <row r="1" spans="1:13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0</v>
      </c>
      <c r="C2">
        <v>40</v>
      </c>
      <c r="D2">
        <f>SUM($B$2:B2)</f>
        <v>0</v>
      </c>
      <c r="E2">
        <v>3</v>
      </c>
      <c r="F2">
        <f>INT(D2/60)+1</f>
        <v>1</v>
      </c>
      <c r="G2">
        <v>1</v>
      </c>
      <c r="H2">
        <f>COUNTIF($F$2:$F$33,"&lt;="&amp;G2)/G2</f>
        <v>3</v>
      </c>
      <c r="I2">
        <f>60/AVERAGEIF($F$2:$F$33,"&lt;="&amp;G2,$C$2:$C$33)</f>
        <v>1.0909090909090908</v>
      </c>
      <c r="J2">
        <f>H2/($E$2*I2)</f>
        <v>0.91666666666666674</v>
      </c>
      <c r="K2">
        <f>IF(J2&gt;=1,"niestabilny",1-J2)</f>
        <v>8.3333333333333259E-2</v>
      </c>
      <c r="L2">
        <f>IF(J2&gt;=1,"-",J2^2/(1-J2))</f>
        <v>10.083333333333345</v>
      </c>
      <c r="M2">
        <f>IF(OR(J2&gt;=1,H2=0),"-",L2/H2)</f>
        <v>3.3611111111111147</v>
      </c>
    </row>
    <row r="3" spans="1:13">
      <c r="A3">
        <v>2</v>
      </c>
      <c r="B3">
        <v>6</v>
      </c>
      <c r="C3">
        <v>60</v>
      </c>
      <c r="D3">
        <f>SUM($B$2:B3)</f>
        <v>6</v>
      </c>
      <c r="F3">
        <f t="shared" ref="F3:F33" si="0">INT(D3/60)+1</f>
        <v>1</v>
      </c>
      <c r="G3">
        <f>G2+1</f>
        <v>2</v>
      </c>
      <c r="H3">
        <f t="shared" ref="H3:H33" si="1">COUNTIF($F$2:$F$33,"&lt;="&amp;G3)/G3</f>
        <v>2</v>
      </c>
      <c r="I3">
        <f t="shared" ref="I3:I33" si="2">60/AVERAGEIF($F$2:$F$33,"&lt;="&amp;G3,$C$2:$C$33)</f>
        <v>1.0666666666666667</v>
      </c>
      <c r="J3">
        <f t="shared" ref="J3:J33" si="3">H3/($E$2*I3)</f>
        <v>0.625</v>
      </c>
      <c r="K3">
        <f t="shared" ref="K3:K33" si="4">IF(J3&gt;=1,"niestabilny",1-J3)</f>
        <v>0.375</v>
      </c>
      <c r="L3">
        <f t="shared" ref="L3:L33" si="5">IF(J3&gt;=1,"-",J3^2/(1-J3))</f>
        <v>1.0416666666666667</v>
      </c>
      <c r="M3">
        <f t="shared" ref="M3:M33" si="6">IF(OR(J3&gt;=1,H3=0),"-",L3/H3)</f>
        <v>0.52083333333333337</v>
      </c>
    </row>
    <row r="4" spans="1:13">
      <c r="A4">
        <v>3</v>
      </c>
      <c r="B4">
        <v>40</v>
      </c>
      <c r="C4">
        <v>65</v>
      </c>
      <c r="D4">
        <f>SUM($B$2:B4)</f>
        <v>46</v>
      </c>
      <c r="F4">
        <f t="shared" si="0"/>
        <v>1</v>
      </c>
      <c r="G4">
        <f t="shared" ref="G4:G33" si="7">G3+1</f>
        <v>3</v>
      </c>
      <c r="H4">
        <f t="shared" si="1"/>
        <v>2</v>
      </c>
      <c r="I4">
        <f t="shared" si="2"/>
        <v>1.125</v>
      </c>
      <c r="J4">
        <f t="shared" si="3"/>
        <v>0.59259259259259256</v>
      </c>
      <c r="K4">
        <f t="shared" si="4"/>
        <v>0.40740740740740744</v>
      </c>
      <c r="L4">
        <f t="shared" si="5"/>
        <v>0.8619528619528618</v>
      </c>
      <c r="M4">
        <f t="shared" si="6"/>
        <v>0.4309764309764309</v>
      </c>
    </row>
    <row r="5" spans="1:13">
      <c r="A5">
        <v>4</v>
      </c>
      <c r="B5">
        <v>30</v>
      </c>
      <c r="C5">
        <v>60</v>
      </c>
      <c r="D5">
        <f>SUM($B$2:B5)</f>
        <v>76</v>
      </c>
      <c r="F5">
        <f t="shared" si="0"/>
        <v>2</v>
      </c>
      <c r="G5">
        <f t="shared" si="7"/>
        <v>4</v>
      </c>
      <c r="H5">
        <f t="shared" si="1"/>
        <v>2.75</v>
      </c>
      <c r="I5">
        <f t="shared" si="2"/>
        <v>1.03125</v>
      </c>
      <c r="J5">
        <f t="shared" si="3"/>
        <v>0.88888888888888884</v>
      </c>
      <c r="K5">
        <f t="shared" si="4"/>
        <v>0.11111111111111116</v>
      </c>
      <c r="L5">
        <f t="shared" si="5"/>
        <v>7.1111111111111072</v>
      </c>
      <c r="M5">
        <f t="shared" si="6"/>
        <v>2.5858585858585843</v>
      </c>
    </row>
    <row r="6" spans="1:13">
      <c r="A6">
        <v>5</v>
      </c>
      <c r="B6">
        <v>50</v>
      </c>
      <c r="C6">
        <v>40</v>
      </c>
      <c r="D6">
        <f>SUM($B$2:B6)</f>
        <v>126</v>
      </c>
      <c r="F6">
        <f t="shared" si="0"/>
        <v>3</v>
      </c>
      <c r="G6">
        <f t="shared" si="7"/>
        <v>5</v>
      </c>
      <c r="H6">
        <f t="shared" si="1"/>
        <v>2.6</v>
      </c>
      <c r="I6">
        <f t="shared" si="2"/>
        <v>1.0064516129032259</v>
      </c>
      <c r="J6">
        <f t="shared" si="3"/>
        <v>0.86111111111111105</v>
      </c>
      <c r="K6">
        <f t="shared" si="4"/>
        <v>0.13888888888888895</v>
      </c>
      <c r="L6">
        <f t="shared" si="5"/>
        <v>5.3388888888888859</v>
      </c>
      <c r="M6">
        <f t="shared" si="6"/>
        <v>2.0534188034188023</v>
      </c>
    </row>
    <row r="7" spans="1:13">
      <c r="A7">
        <v>6</v>
      </c>
      <c r="B7">
        <v>30</v>
      </c>
      <c r="C7">
        <v>55</v>
      </c>
      <c r="D7">
        <f>SUM($B$2:B7)</f>
        <v>156</v>
      </c>
      <c r="F7">
        <f t="shared" si="0"/>
        <v>3</v>
      </c>
      <c r="G7">
        <f t="shared" si="7"/>
        <v>6</v>
      </c>
      <c r="H7">
        <f t="shared" si="1"/>
        <v>2.3333333333333335</v>
      </c>
      <c r="I7">
        <f t="shared" si="2"/>
        <v>0.98823529411764699</v>
      </c>
      <c r="J7">
        <f t="shared" si="3"/>
        <v>0.7870370370370372</v>
      </c>
      <c r="K7">
        <f t="shared" si="4"/>
        <v>0.2129629629629628</v>
      </c>
      <c r="L7">
        <f t="shared" si="5"/>
        <v>2.9086151368760098</v>
      </c>
      <c r="M7">
        <f t="shared" si="6"/>
        <v>1.2465493443754327</v>
      </c>
    </row>
    <row r="8" spans="1:13">
      <c r="A8">
        <v>7</v>
      </c>
      <c r="B8">
        <v>25</v>
      </c>
      <c r="C8">
        <v>65</v>
      </c>
      <c r="D8">
        <f>SUM($B$2:B8)</f>
        <v>181</v>
      </c>
      <c r="F8">
        <f t="shared" si="0"/>
        <v>4</v>
      </c>
      <c r="G8">
        <f t="shared" si="7"/>
        <v>7</v>
      </c>
      <c r="H8">
        <f t="shared" si="1"/>
        <v>2.1428571428571428</v>
      </c>
      <c r="I8">
        <f t="shared" si="2"/>
        <v>0.98901098901098905</v>
      </c>
      <c r="J8">
        <f t="shared" si="3"/>
        <v>0.72222222222222221</v>
      </c>
      <c r="K8">
        <f t="shared" si="4"/>
        <v>0.27777777777777779</v>
      </c>
      <c r="L8">
        <f t="shared" si="5"/>
        <v>1.8777777777777775</v>
      </c>
      <c r="M8">
        <f t="shared" si="6"/>
        <v>0.87629629629629624</v>
      </c>
    </row>
    <row r="9" spans="1:13">
      <c r="A9">
        <v>8</v>
      </c>
      <c r="B9">
        <v>5</v>
      </c>
      <c r="C9">
        <v>60</v>
      </c>
      <c r="D9">
        <f>SUM($B$2:B9)</f>
        <v>186</v>
      </c>
      <c r="F9">
        <f t="shared" si="0"/>
        <v>4</v>
      </c>
      <c r="G9">
        <f t="shared" si="7"/>
        <v>8</v>
      </c>
      <c r="H9">
        <f t="shared" si="1"/>
        <v>2.125</v>
      </c>
      <c r="I9">
        <f t="shared" si="2"/>
        <v>0.99512195121951219</v>
      </c>
      <c r="J9">
        <f t="shared" si="3"/>
        <v>0.71180555555555558</v>
      </c>
      <c r="K9">
        <f t="shared" si="4"/>
        <v>0.28819444444444442</v>
      </c>
      <c r="L9">
        <f t="shared" si="5"/>
        <v>1.7580739625167341</v>
      </c>
      <c r="M9">
        <f t="shared" si="6"/>
        <v>0.8273289235372866</v>
      </c>
    </row>
    <row r="10" spans="1:13">
      <c r="A10">
        <v>9</v>
      </c>
      <c r="B10">
        <v>15</v>
      </c>
      <c r="C10">
        <v>60</v>
      </c>
      <c r="D10">
        <f>SUM($B$2:B10)</f>
        <v>201</v>
      </c>
      <c r="F10">
        <f t="shared" si="0"/>
        <v>4</v>
      </c>
      <c r="G10">
        <f t="shared" si="7"/>
        <v>9</v>
      </c>
      <c r="H10">
        <f t="shared" si="1"/>
        <v>2</v>
      </c>
      <c r="I10">
        <f t="shared" si="2"/>
        <v>0.99082568807339444</v>
      </c>
      <c r="J10">
        <f t="shared" si="3"/>
        <v>0.6728395061728395</v>
      </c>
      <c r="K10">
        <f t="shared" si="4"/>
        <v>0.3271604938271605</v>
      </c>
      <c r="L10">
        <f t="shared" si="5"/>
        <v>1.383764267412066</v>
      </c>
      <c r="M10">
        <f t="shared" si="6"/>
        <v>0.69188213370603302</v>
      </c>
    </row>
    <row r="11" spans="1:13">
      <c r="A11">
        <v>10</v>
      </c>
      <c r="B11">
        <v>15</v>
      </c>
      <c r="C11">
        <v>70</v>
      </c>
      <c r="D11">
        <f>SUM($B$2:B11)</f>
        <v>216</v>
      </c>
      <c r="F11">
        <f t="shared" si="0"/>
        <v>4</v>
      </c>
      <c r="G11">
        <f t="shared" si="7"/>
        <v>10</v>
      </c>
      <c r="H11">
        <f t="shared" si="1"/>
        <v>1.9</v>
      </c>
      <c r="I11">
        <f t="shared" si="2"/>
        <v>0.98701298701298701</v>
      </c>
      <c r="J11">
        <f t="shared" si="3"/>
        <v>0.64166666666666661</v>
      </c>
      <c r="K11">
        <f t="shared" si="4"/>
        <v>0.35833333333333339</v>
      </c>
      <c r="L11">
        <f t="shared" si="5"/>
        <v>1.1490310077519374</v>
      </c>
      <c r="M11">
        <f t="shared" si="6"/>
        <v>0.60475316197470397</v>
      </c>
    </row>
    <row r="12" spans="1:13">
      <c r="A12">
        <v>11</v>
      </c>
      <c r="B12">
        <v>10</v>
      </c>
      <c r="C12">
        <v>65</v>
      </c>
      <c r="D12">
        <f>SUM($B$2:B12)</f>
        <v>226</v>
      </c>
      <c r="F12">
        <f t="shared" si="0"/>
        <v>4</v>
      </c>
      <c r="G12">
        <f t="shared" si="7"/>
        <v>11</v>
      </c>
      <c r="H12">
        <f t="shared" si="1"/>
        <v>1.8181818181818181</v>
      </c>
      <c r="I12">
        <f t="shared" si="2"/>
        <v>0.97560975609756095</v>
      </c>
      <c r="J12">
        <f t="shared" si="3"/>
        <v>0.62121212121212122</v>
      </c>
      <c r="K12">
        <f t="shared" si="4"/>
        <v>0.37878787878787878</v>
      </c>
      <c r="L12">
        <f t="shared" si="5"/>
        <v>1.0187878787878788</v>
      </c>
      <c r="M12">
        <f t="shared" si="6"/>
        <v>0.56033333333333335</v>
      </c>
    </row>
    <row r="13" spans="1:13">
      <c r="A13">
        <v>12</v>
      </c>
      <c r="B13">
        <v>30</v>
      </c>
      <c r="C13">
        <v>70</v>
      </c>
      <c r="D13">
        <f>SUM($B$2:B13)</f>
        <v>256</v>
      </c>
      <c r="F13">
        <f t="shared" si="0"/>
        <v>5</v>
      </c>
      <c r="G13">
        <f t="shared" si="7"/>
        <v>12</v>
      </c>
      <c r="H13">
        <f t="shared" si="1"/>
        <v>1.75</v>
      </c>
      <c r="I13">
        <f t="shared" si="2"/>
        <v>0.96923076923076923</v>
      </c>
      <c r="J13">
        <f t="shared" si="3"/>
        <v>0.60185185185185186</v>
      </c>
      <c r="K13">
        <f t="shared" si="4"/>
        <v>0.39814814814814814</v>
      </c>
      <c r="L13">
        <f t="shared" si="5"/>
        <v>0.90977605512489235</v>
      </c>
      <c r="M13">
        <f t="shared" si="6"/>
        <v>0.51987203149993844</v>
      </c>
    </row>
    <row r="14" spans="1:13">
      <c r="A14">
        <v>13</v>
      </c>
      <c r="B14">
        <v>40</v>
      </c>
      <c r="C14">
        <v>65</v>
      </c>
      <c r="D14">
        <f>SUM($B$2:B14)</f>
        <v>296</v>
      </c>
      <c r="F14">
        <f t="shared" si="0"/>
        <v>5</v>
      </c>
      <c r="G14">
        <f t="shared" si="7"/>
        <v>13</v>
      </c>
      <c r="H14">
        <f t="shared" si="1"/>
        <v>1.6923076923076923</v>
      </c>
      <c r="I14">
        <f t="shared" si="2"/>
        <v>0.97058823529411764</v>
      </c>
      <c r="J14">
        <f t="shared" si="3"/>
        <v>0.58119658119658124</v>
      </c>
      <c r="K14">
        <f t="shared" si="4"/>
        <v>0.41880341880341876</v>
      </c>
      <c r="L14">
        <f t="shared" si="5"/>
        <v>0.80655852084423529</v>
      </c>
      <c r="M14">
        <f t="shared" si="6"/>
        <v>0.47660276231704812</v>
      </c>
    </row>
    <row r="15" spans="1:13">
      <c r="A15">
        <v>14</v>
      </c>
      <c r="B15">
        <v>40</v>
      </c>
      <c r="C15">
        <v>75</v>
      </c>
      <c r="D15">
        <f>SUM($B$2:B15)</f>
        <v>336</v>
      </c>
      <c r="F15">
        <f t="shared" si="0"/>
        <v>6</v>
      </c>
      <c r="G15">
        <f t="shared" si="7"/>
        <v>14</v>
      </c>
      <c r="H15">
        <f t="shared" si="1"/>
        <v>1.7142857142857142</v>
      </c>
      <c r="I15">
        <f t="shared" si="2"/>
        <v>0.96839273705447204</v>
      </c>
      <c r="J15">
        <f t="shared" si="3"/>
        <v>0.59007936507936509</v>
      </c>
      <c r="K15">
        <f t="shared" si="4"/>
        <v>0.40992063492063491</v>
      </c>
      <c r="L15">
        <f t="shared" si="5"/>
        <v>0.84941724673089636</v>
      </c>
      <c r="M15">
        <f t="shared" si="6"/>
        <v>0.49549339392635622</v>
      </c>
    </row>
    <row r="16" spans="1:13">
      <c r="A16">
        <v>15</v>
      </c>
      <c r="B16">
        <v>40</v>
      </c>
      <c r="C16">
        <v>60</v>
      </c>
      <c r="D16">
        <f>SUM($B$2:B16)</f>
        <v>376</v>
      </c>
      <c r="F16">
        <f t="shared" si="0"/>
        <v>7</v>
      </c>
      <c r="G16">
        <f t="shared" si="7"/>
        <v>15</v>
      </c>
      <c r="H16">
        <f t="shared" si="1"/>
        <v>1.7333333333333334</v>
      </c>
      <c r="I16">
        <f t="shared" si="2"/>
        <v>0.98298676748582225</v>
      </c>
      <c r="J16">
        <f t="shared" si="3"/>
        <v>0.58777777777777784</v>
      </c>
      <c r="K16">
        <f t="shared" si="4"/>
        <v>0.41222222222222216</v>
      </c>
      <c r="L16">
        <f t="shared" si="5"/>
        <v>0.83809823300389374</v>
      </c>
      <c r="M16">
        <f t="shared" si="6"/>
        <v>0.48351821134840023</v>
      </c>
    </row>
    <row r="17" spans="1:13">
      <c r="A17">
        <v>16</v>
      </c>
      <c r="B17">
        <v>50</v>
      </c>
      <c r="C17">
        <v>50</v>
      </c>
      <c r="D17">
        <f>SUM($B$2:B17)</f>
        <v>426</v>
      </c>
      <c r="F17">
        <f t="shared" si="0"/>
        <v>8</v>
      </c>
      <c r="G17">
        <f t="shared" si="7"/>
        <v>16</v>
      </c>
      <c r="H17">
        <f t="shared" si="1"/>
        <v>1.75</v>
      </c>
      <c r="I17">
        <f t="shared" si="2"/>
        <v>0.97845078625509618</v>
      </c>
      <c r="J17">
        <f>H17/($E$2*I17)</f>
        <v>0.59618055555555549</v>
      </c>
      <c r="K17">
        <f t="shared" si="4"/>
        <v>0.40381944444444451</v>
      </c>
      <c r="L17">
        <f t="shared" si="5"/>
        <v>0.88017370067832201</v>
      </c>
      <c r="M17">
        <f t="shared" si="6"/>
        <v>0.50295640038761258</v>
      </c>
    </row>
    <row r="18" spans="1:13">
      <c r="A18">
        <v>17</v>
      </c>
      <c r="B18">
        <v>50</v>
      </c>
      <c r="C18">
        <v>65</v>
      </c>
      <c r="D18">
        <f>SUM($B$2:B18)</f>
        <v>476</v>
      </c>
      <c r="F18">
        <f t="shared" si="0"/>
        <v>8</v>
      </c>
      <c r="G18">
        <f t="shared" si="7"/>
        <v>17</v>
      </c>
      <c r="H18">
        <f t="shared" si="1"/>
        <v>1.7058823529411764</v>
      </c>
      <c r="I18">
        <f t="shared" si="2"/>
        <v>0.97917839054586386</v>
      </c>
      <c r="J18">
        <f t="shared" si="3"/>
        <v>0.58071895424836595</v>
      </c>
      <c r="K18">
        <f t="shared" si="4"/>
        <v>0.41928104575163405</v>
      </c>
      <c r="L18">
        <f t="shared" si="5"/>
        <v>0.80431611979684026</v>
      </c>
      <c r="M18">
        <f t="shared" si="6"/>
        <v>0.47149565643263053</v>
      </c>
    </row>
    <row r="19" spans="1:13">
      <c r="A19">
        <v>18</v>
      </c>
      <c r="B19">
        <v>55</v>
      </c>
      <c r="C19">
        <v>65</v>
      </c>
      <c r="D19">
        <f>SUM($B$2:B19)</f>
        <v>531</v>
      </c>
      <c r="F19">
        <f t="shared" si="0"/>
        <v>9</v>
      </c>
      <c r="G19">
        <f t="shared" si="7"/>
        <v>18</v>
      </c>
      <c r="H19">
        <f t="shared" si="1"/>
        <v>1.6666666666666667</v>
      </c>
      <c r="I19">
        <f t="shared" si="2"/>
        <v>0.99064391854705558</v>
      </c>
      <c r="J19">
        <f t="shared" si="3"/>
        <v>0.56080246913580256</v>
      </c>
      <c r="K19">
        <f t="shared" si="4"/>
        <v>0.43919753086419744</v>
      </c>
      <c r="L19">
        <f t="shared" si="5"/>
        <v>0.71607736220643259</v>
      </c>
      <c r="M19">
        <f t="shared" si="6"/>
        <v>0.42964641732385955</v>
      </c>
    </row>
    <row r="20" spans="1:13">
      <c r="A20">
        <v>19</v>
      </c>
      <c r="B20">
        <v>45</v>
      </c>
      <c r="C20">
        <v>65</v>
      </c>
      <c r="D20">
        <f>SUM($B$2:B20)</f>
        <v>576</v>
      </c>
      <c r="F20">
        <f t="shared" si="0"/>
        <v>10</v>
      </c>
      <c r="G20">
        <f t="shared" si="7"/>
        <v>19</v>
      </c>
      <c r="H20">
        <f t="shared" si="1"/>
        <v>1.6842105263157894</v>
      </c>
      <c r="I20">
        <f t="shared" si="2"/>
        <v>0.98613251155624038</v>
      </c>
      <c r="J20">
        <f t="shared" si="3"/>
        <v>0.56929824561403508</v>
      </c>
      <c r="K20">
        <f t="shared" si="4"/>
        <v>0.43070175438596492</v>
      </c>
      <c r="L20">
        <f t="shared" si="5"/>
        <v>0.75249401507842928</v>
      </c>
      <c r="M20">
        <f t="shared" si="6"/>
        <v>0.44679332145281742</v>
      </c>
    </row>
    <row r="21" spans="1:13">
      <c r="A21">
        <v>20</v>
      </c>
      <c r="B21">
        <v>55</v>
      </c>
      <c r="C21">
        <v>75</v>
      </c>
      <c r="D21">
        <f>SUM($B$2:B21)</f>
        <v>631</v>
      </c>
      <c r="F21">
        <f t="shared" si="0"/>
        <v>11</v>
      </c>
      <c r="G21">
        <f t="shared" si="7"/>
        <v>20</v>
      </c>
      <c r="H21">
        <f t="shared" si="1"/>
        <v>1.6</v>
      </c>
      <c r="I21">
        <f t="shared" si="2"/>
        <v>0.98613251155624038</v>
      </c>
      <c r="J21">
        <f t="shared" si="3"/>
        <v>0.54083333333333339</v>
      </c>
      <c r="K21">
        <f t="shared" si="4"/>
        <v>0.45916666666666661</v>
      </c>
      <c r="L21">
        <f t="shared" si="5"/>
        <v>0.63702510586811878</v>
      </c>
      <c r="M21">
        <f t="shared" si="6"/>
        <v>0.39814069116757422</v>
      </c>
    </row>
    <row r="22" spans="1:13">
      <c r="A22">
        <v>21</v>
      </c>
      <c r="B22">
        <v>55</v>
      </c>
      <c r="C22">
        <v>70</v>
      </c>
      <c r="D22">
        <f>SUM($B$2:B22)</f>
        <v>686</v>
      </c>
      <c r="F22">
        <f t="shared" si="0"/>
        <v>12</v>
      </c>
      <c r="G22">
        <f t="shared" si="7"/>
        <v>21</v>
      </c>
      <c r="H22">
        <f t="shared" si="1"/>
        <v>1.5238095238095237</v>
      </c>
      <c r="I22">
        <f t="shared" si="2"/>
        <v>0.98613251155624038</v>
      </c>
      <c r="J22">
        <f t="shared" si="3"/>
        <v>0.51507936507936503</v>
      </c>
      <c r="K22">
        <f t="shared" si="4"/>
        <v>0.48492063492063497</v>
      </c>
      <c r="L22">
        <f t="shared" si="5"/>
        <v>0.54711376094354791</v>
      </c>
      <c r="M22">
        <f t="shared" si="6"/>
        <v>0.35904340561920334</v>
      </c>
    </row>
    <row r="23" spans="1:13">
      <c r="A23">
        <v>22</v>
      </c>
      <c r="B23">
        <v>50</v>
      </c>
      <c r="C23">
        <v>60</v>
      </c>
      <c r="D23">
        <f>SUM($B$2:B23)</f>
        <v>736</v>
      </c>
      <c r="F23">
        <f t="shared" si="0"/>
        <v>13</v>
      </c>
      <c r="G23">
        <f t="shared" si="7"/>
        <v>22</v>
      </c>
      <c r="H23">
        <f t="shared" si="1"/>
        <v>1.4545454545454546</v>
      </c>
      <c r="I23">
        <f t="shared" si="2"/>
        <v>0.98613251155624038</v>
      </c>
      <c r="J23">
        <f t="shared" si="3"/>
        <v>0.4916666666666667</v>
      </c>
      <c r="K23">
        <f t="shared" si="4"/>
        <v>0.5083333333333333</v>
      </c>
      <c r="L23">
        <f t="shared" si="5"/>
        <v>0.47554644808743179</v>
      </c>
      <c r="M23">
        <f t="shared" si="6"/>
        <v>0.32693818306010936</v>
      </c>
    </row>
    <row r="24" spans="1:13">
      <c r="A24">
        <v>23</v>
      </c>
      <c r="B24">
        <v>45</v>
      </c>
      <c r="C24">
        <v>65</v>
      </c>
      <c r="D24">
        <f>SUM($B$2:B24)</f>
        <v>781</v>
      </c>
      <c r="F24">
        <f t="shared" si="0"/>
        <v>14</v>
      </c>
      <c r="G24">
        <f t="shared" si="7"/>
        <v>23</v>
      </c>
      <c r="H24">
        <f t="shared" si="1"/>
        <v>1.3913043478260869</v>
      </c>
      <c r="I24">
        <f t="shared" si="2"/>
        <v>0.98613251155624038</v>
      </c>
      <c r="J24">
        <f t="shared" si="3"/>
        <v>0.47028985507246379</v>
      </c>
      <c r="K24">
        <f t="shared" si="4"/>
        <v>0.52971014492753621</v>
      </c>
      <c r="L24">
        <f t="shared" si="5"/>
        <v>0.41753504232835709</v>
      </c>
      <c r="M24">
        <f t="shared" si="6"/>
        <v>0.30010331167350668</v>
      </c>
    </row>
    <row r="25" spans="1:13">
      <c r="A25">
        <v>24</v>
      </c>
      <c r="B25">
        <v>45</v>
      </c>
      <c r="C25">
        <v>62</v>
      </c>
      <c r="D25">
        <f>SUM($B$2:B25)</f>
        <v>826</v>
      </c>
      <c r="F25">
        <f t="shared" si="0"/>
        <v>14</v>
      </c>
      <c r="G25">
        <f t="shared" si="7"/>
        <v>24</v>
      </c>
      <c r="H25">
        <f t="shared" si="1"/>
        <v>1.3333333333333333</v>
      </c>
      <c r="I25">
        <f t="shared" si="2"/>
        <v>0.98613251155624038</v>
      </c>
      <c r="J25">
        <f t="shared" si="3"/>
        <v>0.45069444444444445</v>
      </c>
      <c r="K25">
        <f t="shared" si="4"/>
        <v>0.54930555555555549</v>
      </c>
      <c r="L25">
        <f t="shared" si="5"/>
        <v>0.36978596010675663</v>
      </c>
      <c r="M25">
        <f t="shared" si="6"/>
        <v>0.27733947008006749</v>
      </c>
    </row>
    <row r="26" spans="1:13">
      <c r="A26">
        <v>25</v>
      </c>
      <c r="B26">
        <v>50</v>
      </c>
      <c r="C26">
        <v>60</v>
      </c>
      <c r="D26">
        <f>SUM($B$2:B26)</f>
        <v>876</v>
      </c>
      <c r="F26">
        <f t="shared" si="0"/>
        <v>15</v>
      </c>
      <c r="G26">
        <f t="shared" si="7"/>
        <v>25</v>
      </c>
      <c r="H26">
        <f t="shared" si="1"/>
        <v>1.28</v>
      </c>
      <c r="I26">
        <f t="shared" si="2"/>
        <v>0.98613251155624038</v>
      </c>
      <c r="J26">
        <f t="shared" si="3"/>
        <v>0.4326666666666667</v>
      </c>
      <c r="K26">
        <f t="shared" si="4"/>
        <v>0.56733333333333325</v>
      </c>
      <c r="L26">
        <f t="shared" si="5"/>
        <v>0.32996553074813956</v>
      </c>
      <c r="M26">
        <f t="shared" si="6"/>
        <v>0.25778557089698401</v>
      </c>
    </row>
    <row r="27" spans="1:13">
      <c r="A27">
        <v>26</v>
      </c>
      <c r="B27">
        <v>10</v>
      </c>
      <c r="C27">
        <v>40</v>
      </c>
      <c r="D27">
        <f>SUM($B$2:B27)</f>
        <v>886</v>
      </c>
      <c r="F27">
        <f t="shared" si="0"/>
        <v>15</v>
      </c>
      <c r="G27">
        <f t="shared" si="7"/>
        <v>26</v>
      </c>
      <c r="H27">
        <f t="shared" si="1"/>
        <v>1.2307692307692308</v>
      </c>
      <c r="I27">
        <f t="shared" si="2"/>
        <v>0.98613251155624038</v>
      </c>
      <c r="J27">
        <f t="shared" si="3"/>
        <v>0.41602564102564105</v>
      </c>
      <c r="K27">
        <f t="shared" si="4"/>
        <v>0.5839743589743589</v>
      </c>
      <c r="L27">
        <f t="shared" si="5"/>
        <v>0.29637831067578607</v>
      </c>
      <c r="M27">
        <f t="shared" si="6"/>
        <v>0.24080737742407618</v>
      </c>
    </row>
    <row r="28" spans="1:13">
      <c r="A28">
        <v>27</v>
      </c>
      <c r="B28">
        <v>25</v>
      </c>
      <c r="C28">
        <v>55</v>
      </c>
      <c r="D28">
        <f>SUM($B$2:B28)</f>
        <v>911</v>
      </c>
      <c r="F28">
        <f t="shared" si="0"/>
        <v>16</v>
      </c>
      <c r="G28">
        <f t="shared" si="7"/>
        <v>27</v>
      </c>
      <c r="H28">
        <f t="shared" si="1"/>
        <v>1.1851851851851851</v>
      </c>
      <c r="I28">
        <f t="shared" si="2"/>
        <v>0.98613251155624038</v>
      </c>
      <c r="J28">
        <f t="shared" si="3"/>
        <v>0.4006172839506173</v>
      </c>
      <c r="K28">
        <f t="shared" si="4"/>
        <v>0.59938271604938276</v>
      </c>
      <c r="L28">
        <f t="shared" si="5"/>
        <v>0.26776582624505729</v>
      </c>
      <c r="M28">
        <f t="shared" si="6"/>
        <v>0.2259274158942671</v>
      </c>
    </row>
    <row r="29" spans="1:13">
      <c r="A29">
        <v>28</v>
      </c>
      <c r="B29">
        <v>25</v>
      </c>
      <c r="C29">
        <v>75</v>
      </c>
      <c r="D29">
        <f>SUM($B$2:B29)</f>
        <v>936</v>
      </c>
      <c r="F29">
        <f t="shared" si="0"/>
        <v>16</v>
      </c>
      <c r="G29">
        <f t="shared" si="7"/>
        <v>28</v>
      </c>
      <c r="H29">
        <f t="shared" si="1"/>
        <v>1.1428571428571428</v>
      </c>
      <c r="I29">
        <f t="shared" si="2"/>
        <v>0.98613251155624038</v>
      </c>
      <c r="J29">
        <f t="shared" si="3"/>
        <v>0.38630952380952382</v>
      </c>
      <c r="K29">
        <f t="shared" si="4"/>
        <v>0.61369047619047623</v>
      </c>
      <c r="L29">
        <f t="shared" si="5"/>
        <v>0.24317641217495728</v>
      </c>
      <c r="M29">
        <f t="shared" si="6"/>
        <v>0.21277936065308764</v>
      </c>
    </row>
    <row r="30" spans="1:13">
      <c r="A30">
        <v>29</v>
      </c>
      <c r="B30">
        <v>55</v>
      </c>
      <c r="C30">
        <v>60</v>
      </c>
      <c r="D30">
        <f>SUM($B$2:B30)</f>
        <v>991</v>
      </c>
      <c r="F30">
        <f t="shared" si="0"/>
        <v>17</v>
      </c>
      <c r="G30">
        <f t="shared" si="7"/>
        <v>29</v>
      </c>
      <c r="H30">
        <f t="shared" si="1"/>
        <v>1.103448275862069</v>
      </c>
      <c r="I30">
        <f t="shared" si="2"/>
        <v>0.98613251155624038</v>
      </c>
      <c r="J30">
        <f t="shared" si="3"/>
        <v>0.37298850574712644</v>
      </c>
      <c r="K30">
        <f t="shared" si="4"/>
        <v>0.6270114942528735</v>
      </c>
      <c r="L30">
        <f t="shared" si="5"/>
        <v>0.22187858866167284</v>
      </c>
      <c r="M30">
        <f t="shared" si="6"/>
        <v>0.20107747097464101</v>
      </c>
    </row>
    <row r="31" spans="1:13">
      <c r="A31">
        <v>30</v>
      </c>
      <c r="B31">
        <v>55</v>
      </c>
      <c r="C31">
        <v>40</v>
      </c>
      <c r="D31">
        <f>SUM($B$2:B31)</f>
        <v>1046</v>
      </c>
      <c r="F31">
        <f t="shared" si="0"/>
        <v>18</v>
      </c>
      <c r="G31">
        <f t="shared" si="7"/>
        <v>30</v>
      </c>
      <c r="H31">
        <f t="shared" si="1"/>
        <v>1.0666666666666667</v>
      </c>
      <c r="I31">
        <f t="shared" si="2"/>
        <v>0.98613251155624038</v>
      </c>
      <c r="J31">
        <f t="shared" si="3"/>
        <v>0.36055555555555557</v>
      </c>
      <c r="K31">
        <f t="shared" si="4"/>
        <v>0.63944444444444448</v>
      </c>
      <c r="L31">
        <f t="shared" si="5"/>
        <v>0.20330195964861472</v>
      </c>
      <c r="M31">
        <f t="shared" si="6"/>
        <v>0.19059558717057631</v>
      </c>
    </row>
    <row r="32" spans="1:13">
      <c r="A32">
        <v>31</v>
      </c>
      <c r="B32">
        <v>40</v>
      </c>
      <c r="C32">
        <v>70</v>
      </c>
      <c r="D32">
        <f>SUM($B$2:B32)</f>
        <v>1086</v>
      </c>
      <c r="F32">
        <f t="shared" si="0"/>
        <v>19</v>
      </c>
      <c r="G32">
        <f t="shared" si="7"/>
        <v>31</v>
      </c>
      <c r="H32">
        <f t="shared" si="1"/>
        <v>1.032258064516129</v>
      </c>
      <c r="I32">
        <f t="shared" si="2"/>
        <v>0.98613251155624038</v>
      </c>
      <c r="J32">
        <f t="shared" si="3"/>
        <v>0.34892473118279571</v>
      </c>
      <c r="K32">
        <f t="shared" si="4"/>
        <v>0.65107526881720434</v>
      </c>
      <c r="L32">
        <f t="shared" si="5"/>
        <v>0.18699599548937607</v>
      </c>
      <c r="M32">
        <f t="shared" si="6"/>
        <v>0.18115237063033307</v>
      </c>
    </row>
    <row r="33" spans="1:13">
      <c r="A33">
        <v>32</v>
      </c>
      <c r="B33">
        <v>50</v>
      </c>
      <c r="C33">
        <v>60</v>
      </c>
      <c r="D33">
        <f>SUM($B$2:B33)</f>
        <v>1136</v>
      </c>
      <c r="F33">
        <f t="shared" si="0"/>
        <v>19</v>
      </c>
      <c r="G33">
        <f t="shared" si="7"/>
        <v>32</v>
      </c>
      <c r="H33">
        <f t="shared" si="1"/>
        <v>1</v>
      </c>
      <c r="I33">
        <f t="shared" si="2"/>
        <v>0.98613251155624038</v>
      </c>
      <c r="J33">
        <f t="shared" si="3"/>
        <v>0.33802083333333333</v>
      </c>
      <c r="K33">
        <f t="shared" si="4"/>
        <v>0.66197916666666667</v>
      </c>
      <c r="L33">
        <f t="shared" si="5"/>
        <v>0.17260072449514816</v>
      </c>
      <c r="M33">
        <f t="shared" si="6"/>
        <v>0.17260072449514816</v>
      </c>
    </row>
    <row r="34" spans="1:13" ht="30.75">
      <c r="H34" s="3" t="s">
        <v>13</v>
      </c>
      <c r="I34" t="s">
        <v>14</v>
      </c>
      <c r="J34" t="s">
        <v>15</v>
      </c>
      <c r="K34" t="s">
        <v>16</v>
      </c>
      <c r="L34" t="s">
        <v>17</v>
      </c>
      <c r="M34" t="s">
        <v>18</v>
      </c>
    </row>
    <row r="52" spans="14:14" ht="45.75">
      <c r="N52" s="3" t="s">
        <v>19</v>
      </c>
    </row>
    <row r="54" spans="14:14">
      <c r="N54" s="3"/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3F6A-1FFC-44F1-A37D-1328568D4F24}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27F9-C307-40FB-96B2-2A1554DB7D6D}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2006-09-22T13:37:51Z</dcterms:created>
  <dcterms:modified xsi:type="dcterms:W3CDTF">2026-03-02T08:19:18Z</dcterms:modified>
  <cp:category/>
  <cp:contentStatus/>
</cp:coreProperties>
</file>